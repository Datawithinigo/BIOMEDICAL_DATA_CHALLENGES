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riazui/Desktop/master/BIOMEDICAL_DATA_CHALLENGES/processed_data/"/>
    </mc:Choice>
  </mc:AlternateContent>
  <xr:revisionPtr revIDLastSave="0" documentId="8_{963B9EDF-66E9-5F46-919D-DD7E3CE4961B}" xr6:coauthVersionLast="47" xr6:coauthVersionMax="47" xr10:uidLastSave="{00000000-0000-0000-0000-000000000000}"/>
  <bookViews>
    <workbookView xWindow="0" yWindow="620" windowWidth="51200" windowHeight="28180" xr2:uid="{29E6E4DE-E990-7D46-BDE7-309D27C84F8F}"/>
  </bookViews>
  <sheets>
    <sheet name="output copy" sheetId="1" r:id="rId1"/>
  </sheets>
  <definedNames>
    <definedName name="_xlnm._FilterDatabase" localSheetId="0" hidden="1">'output copy'!$A$1:$M$118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2" i="1"/>
</calcChain>
</file>

<file path=xl/sharedStrings.xml><?xml version="1.0" encoding="utf-8"?>
<sst xmlns="http://schemas.openxmlformats.org/spreadsheetml/2006/main" count="243" uniqueCount="15">
  <si>
    <t>Howoldareyou</t>
  </si>
  <si>
    <t>MaritalStatus</t>
  </si>
  <si>
    <t>Areyoumaleorfemale</t>
  </si>
  <si>
    <t>Yourbodyweight</t>
  </si>
  <si>
    <t>Yourheight</t>
  </si>
  <si>
    <t>@_id</t>
  </si>
  <si>
    <t>@_index</t>
  </si>
  <si>
    <t>Single</t>
  </si>
  <si>
    <t>Male</t>
  </si>
  <si>
    <t>Married</t>
  </si>
  <si>
    <t>Windowed</t>
  </si>
  <si>
    <t>Female</t>
  </si>
  <si>
    <t>Divorced/Separated</t>
  </si>
  <si>
    <t>BMI</t>
  </si>
  <si>
    <t>weigthStatus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</si>
</sst>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8E63-D4E1-7241-8088-D6FD05A7630A}">
  <dimension ref="A1:I118"/>
  <sheetViews>
    <sheetView tabSelected="1" zoomScale="140" zoomScaleNormal="140" workbookViewId="0">
      <selection activeCell="I2" sqref="I2:I118"/>
    </sheetView>
  </sheetViews>
  <sheetFormatPr baseColWidth="10" defaultRowHeight="16" x14ac:dyDescent="0.2"/>
  <cols>
    <col min="2" max="2" width="23.6640625" customWidth="1"/>
    <col min="4" max="4" width="20.83203125" customWidth="1"/>
    <col min="6" max="6" width="28.5" customWidth="1"/>
    <col min="9" max="9" width="19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</row>
    <row r="2" spans="1:9" x14ac:dyDescent="0.2">
      <c r="A2">
        <v>29</v>
      </c>
      <c r="B2" t="s">
        <v>7</v>
      </c>
      <c r="C2" t="s">
        <v>8</v>
      </c>
      <c r="D2">
        <v>100</v>
      </c>
      <c r="E2">
        <v>190</v>
      </c>
      <c r="F2">
        <v>88674181</v>
      </c>
      <c r="G2">
        <v>68</v>
      </c>
      <c r="H2">
        <f>D2/((E2/100)^2)</f>
        <v>27.70083102493075</v>
      </c>
      <c r="I2" t="str">
        <f>_xlfn.LET(_xlpm.bmi, D2/((E2/100)^2),
IF(_xlpm.bmi&lt;18.5,"Underweight",
IF(_xlpm.bmi&lt;25,"Normal weight",
IF(_xlpm.bmi&lt;30,"Overweight",
IF(_xlpm.bmi&lt;35,"Obesity I",
IF(_xlpm.bmi&lt;40,"Obesity II","Obesity III"))))))</f>
        <v>Overweight</v>
      </c>
    </row>
    <row r="3" spans="1:9" x14ac:dyDescent="0.2">
      <c r="A3">
        <v>33</v>
      </c>
      <c r="B3" t="s">
        <v>9</v>
      </c>
      <c r="C3" t="s">
        <v>8</v>
      </c>
      <c r="D3">
        <v>103</v>
      </c>
      <c r="E3">
        <v>189</v>
      </c>
      <c r="F3">
        <v>88674174</v>
      </c>
      <c r="G3">
        <v>67</v>
      </c>
      <c r="H3">
        <f t="shared" ref="H3:H66" si="0">D3/((E3/100)^2)</f>
        <v>28.834579099129364</v>
      </c>
      <c r="I3" t="str">
        <f t="shared" ref="I3:I66" si="1">_xlfn.LET(_xlpm.bmi, D3/((E3/100)^2),
IF(_xlpm.bmi&lt;18.5,"Underweight",
IF(_xlpm.bmi&lt;25,"Normal weight",
IF(_xlpm.bmi&lt;30,"Overweight",
IF(_xlpm.bmi&lt;35,"Obesity I",
IF(_xlpm.bmi&lt;40,"Obesity II","Obesity III"))))))</f>
        <v>Overweight</v>
      </c>
    </row>
    <row r="4" spans="1:9" x14ac:dyDescent="0.2">
      <c r="A4">
        <v>31</v>
      </c>
      <c r="B4" t="s">
        <v>9</v>
      </c>
      <c r="C4" t="s">
        <v>8</v>
      </c>
      <c r="D4">
        <v>96</v>
      </c>
      <c r="E4">
        <v>185</v>
      </c>
      <c r="F4">
        <v>89106929</v>
      </c>
      <c r="G4">
        <v>122</v>
      </c>
      <c r="H4">
        <f t="shared" si="0"/>
        <v>28.049671292914532</v>
      </c>
      <c r="I4" t="str">
        <f t="shared" si="1"/>
        <v>Overweight</v>
      </c>
    </row>
    <row r="5" spans="1:9" x14ac:dyDescent="0.2">
      <c r="A5">
        <v>25</v>
      </c>
      <c r="B5" t="s">
        <v>10</v>
      </c>
      <c r="C5" t="s">
        <v>8</v>
      </c>
      <c r="D5">
        <v>65</v>
      </c>
      <c r="E5">
        <v>182</v>
      </c>
      <c r="F5">
        <v>88675862</v>
      </c>
      <c r="G5">
        <v>58</v>
      </c>
      <c r="H5">
        <f t="shared" si="0"/>
        <v>19.623233908948194</v>
      </c>
      <c r="I5" t="str">
        <f t="shared" si="1"/>
        <v>Normal weight</v>
      </c>
    </row>
    <row r="6" spans="1:9" x14ac:dyDescent="0.2">
      <c r="A6">
        <v>29</v>
      </c>
      <c r="B6" t="s">
        <v>9</v>
      </c>
      <c r="C6" t="s">
        <v>11</v>
      </c>
      <c r="D6">
        <v>95</v>
      </c>
      <c r="E6">
        <v>180</v>
      </c>
      <c r="F6">
        <v>88676823</v>
      </c>
      <c r="G6">
        <v>48</v>
      </c>
      <c r="H6">
        <f t="shared" si="0"/>
        <v>29.320987654320987</v>
      </c>
      <c r="I6" t="str">
        <f t="shared" si="1"/>
        <v>Overweight</v>
      </c>
    </row>
    <row r="7" spans="1:9" x14ac:dyDescent="0.2">
      <c r="A7">
        <v>40</v>
      </c>
      <c r="B7" t="s">
        <v>9</v>
      </c>
      <c r="C7" t="s">
        <v>8</v>
      </c>
      <c r="D7">
        <v>91</v>
      </c>
      <c r="E7">
        <v>180</v>
      </c>
      <c r="F7">
        <v>88683390</v>
      </c>
      <c r="G7">
        <v>25</v>
      </c>
      <c r="H7">
        <f t="shared" si="0"/>
        <v>28.086419753086417</v>
      </c>
      <c r="I7" t="str">
        <f t="shared" si="1"/>
        <v>Overweight</v>
      </c>
    </row>
    <row r="8" spans="1:9" x14ac:dyDescent="0.2">
      <c r="A8">
        <v>33</v>
      </c>
      <c r="B8" t="s">
        <v>10</v>
      </c>
      <c r="C8" t="s">
        <v>8</v>
      </c>
      <c r="D8">
        <v>86</v>
      </c>
      <c r="E8">
        <v>180</v>
      </c>
      <c r="F8">
        <v>88674706</v>
      </c>
      <c r="G8">
        <v>82</v>
      </c>
      <c r="H8">
        <f t="shared" si="0"/>
        <v>26.543209876543209</v>
      </c>
      <c r="I8" t="str">
        <f t="shared" si="1"/>
        <v>Overweight</v>
      </c>
    </row>
    <row r="9" spans="1:9" x14ac:dyDescent="0.2">
      <c r="A9">
        <v>27</v>
      </c>
      <c r="B9" t="s">
        <v>9</v>
      </c>
      <c r="C9" t="s">
        <v>8</v>
      </c>
      <c r="D9">
        <v>80</v>
      </c>
      <c r="E9">
        <v>180</v>
      </c>
      <c r="F9">
        <v>88674974</v>
      </c>
      <c r="G9">
        <v>88</v>
      </c>
      <c r="H9">
        <f t="shared" si="0"/>
        <v>24.691358024691358</v>
      </c>
      <c r="I9" t="str">
        <f t="shared" si="1"/>
        <v>Normal weight</v>
      </c>
    </row>
    <row r="10" spans="1:9" x14ac:dyDescent="0.2">
      <c r="A10">
        <v>28</v>
      </c>
      <c r="B10" t="s">
        <v>10</v>
      </c>
      <c r="C10" t="s">
        <v>8</v>
      </c>
      <c r="D10">
        <v>74</v>
      </c>
      <c r="E10">
        <v>180</v>
      </c>
      <c r="F10">
        <v>88721923</v>
      </c>
      <c r="G10">
        <v>106</v>
      </c>
      <c r="H10">
        <f t="shared" si="0"/>
        <v>22.839506172839506</v>
      </c>
      <c r="I10" t="str">
        <f t="shared" si="1"/>
        <v>Normal weight</v>
      </c>
    </row>
    <row r="11" spans="1:9" x14ac:dyDescent="0.2">
      <c r="A11">
        <v>21</v>
      </c>
      <c r="B11" t="s">
        <v>10</v>
      </c>
      <c r="C11" t="s">
        <v>8</v>
      </c>
      <c r="D11">
        <v>72</v>
      </c>
      <c r="E11">
        <v>180</v>
      </c>
      <c r="F11">
        <v>88735195</v>
      </c>
      <c r="G11">
        <v>113</v>
      </c>
      <c r="H11">
        <f t="shared" si="0"/>
        <v>22.222222222222221</v>
      </c>
      <c r="I11" t="str">
        <f t="shared" si="1"/>
        <v>Normal weight</v>
      </c>
    </row>
    <row r="12" spans="1:9" x14ac:dyDescent="0.2">
      <c r="A12">
        <v>46</v>
      </c>
      <c r="B12" t="s">
        <v>7</v>
      </c>
      <c r="C12" t="s">
        <v>8</v>
      </c>
      <c r="D12">
        <v>81</v>
      </c>
      <c r="E12">
        <v>178</v>
      </c>
      <c r="F12">
        <v>88674136</v>
      </c>
      <c r="G12">
        <v>66</v>
      </c>
      <c r="H12">
        <f t="shared" si="0"/>
        <v>25.564953919959599</v>
      </c>
      <c r="I12" t="str">
        <f t="shared" si="1"/>
        <v>Overweight</v>
      </c>
    </row>
    <row r="13" spans="1:9" x14ac:dyDescent="0.2">
      <c r="A13">
        <v>23</v>
      </c>
      <c r="B13" t="s">
        <v>12</v>
      </c>
      <c r="C13" t="s">
        <v>8</v>
      </c>
      <c r="D13">
        <v>65</v>
      </c>
      <c r="E13">
        <v>177</v>
      </c>
      <c r="F13">
        <v>88675074</v>
      </c>
      <c r="G13">
        <v>89</v>
      </c>
      <c r="H13">
        <f t="shared" si="0"/>
        <v>20.747550193111813</v>
      </c>
      <c r="I13" t="str">
        <f t="shared" si="1"/>
        <v>Normal weight</v>
      </c>
    </row>
    <row r="14" spans="1:9" x14ac:dyDescent="0.2">
      <c r="A14">
        <v>36</v>
      </c>
      <c r="B14" t="s">
        <v>12</v>
      </c>
      <c r="C14" t="s">
        <v>8</v>
      </c>
      <c r="D14">
        <v>84</v>
      </c>
      <c r="E14">
        <v>176</v>
      </c>
      <c r="F14">
        <v>88674375</v>
      </c>
      <c r="G14">
        <v>75</v>
      </c>
      <c r="H14">
        <f t="shared" si="0"/>
        <v>27.117768595041323</v>
      </c>
      <c r="I14" t="str">
        <f t="shared" si="1"/>
        <v>Overweight</v>
      </c>
    </row>
    <row r="15" spans="1:9" x14ac:dyDescent="0.2">
      <c r="A15">
        <v>29</v>
      </c>
      <c r="B15" t="s">
        <v>10</v>
      </c>
      <c r="C15" t="s">
        <v>8</v>
      </c>
      <c r="D15">
        <v>81</v>
      </c>
      <c r="E15">
        <v>175</v>
      </c>
      <c r="F15">
        <v>88676671</v>
      </c>
      <c r="G15">
        <v>59</v>
      </c>
      <c r="H15">
        <f t="shared" si="0"/>
        <v>26.448979591836736</v>
      </c>
      <c r="I15" t="str">
        <f t="shared" si="1"/>
        <v>Overweight</v>
      </c>
    </row>
    <row r="16" spans="1:9" x14ac:dyDescent="0.2">
      <c r="A16">
        <v>26</v>
      </c>
      <c r="B16" t="s">
        <v>7</v>
      </c>
      <c r="C16" t="s">
        <v>8</v>
      </c>
      <c r="D16">
        <v>75</v>
      </c>
      <c r="E16">
        <v>174</v>
      </c>
      <c r="F16">
        <v>88674497</v>
      </c>
      <c r="G16">
        <v>77</v>
      </c>
      <c r="H16">
        <f t="shared" si="0"/>
        <v>24.772096710265558</v>
      </c>
      <c r="I16" t="str">
        <f t="shared" si="1"/>
        <v>Normal weight</v>
      </c>
    </row>
    <row r="17" spans="1:9" x14ac:dyDescent="0.2">
      <c r="A17">
        <v>33</v>
      </c>
      <c r="B17" t="s">
        <v>9</v>
      </c>
      <c r="C17" t="s">
        <v>8</v>
      </c>
      <c r="D17">
        <v>83</v>
      </c>
      <c r="E17">
        <v>173</v>
      </c>
      <c r="F17">
        <v>88686715</v>
      </c>
      <c r="G17">
        <v>30</v>
      </c>
      <c r="H17">
        <f t="shared" si="0"/>
        <v>27.732299776136855</v>
      </c>
      <c r="I17" t="str">
        <f t="shared" si="1"/>
        <v>Overweight</v>
      </c>
    </row>
    <row r="18" spans="1:9" x14ac:dyDescent="0.2">
      <c r="A18">
        <v>27</v>
      </c>
      <c r="B18" t="s">
        <v>12</v>
      </c>
      <c r="C18" t="s">
        <v>11</v>
      </c>
      <c r="D18">
        <v>73</v>
      </c>
      <c r="E18">
        <v>173</v>
      </c>
      <c r="F18">
        <v>88736669</v>
      </c>
      <c r="G18">
        <v>115</v>
      </c>
      <c r="H18">
        <f t="shared" si="0"/>
        <v>24.391058839252899</v>
      </c>
      <c r="I18" t="str">
        <f t="shared" si="1"/>
        <v>Normal weight</v>
      </c>
    </row>
    <row r="19" spans="1:9" x14ac:dyDescent="0.2">
      <c r="A19">
        <v>27</v>
      </c>
      <c r="B19" t="s">
        <v>7</v>
      </c>
      <c r="C19" t="s">
        <v>11</v>
      </c>
      <c r="D19">
        <v>78</v>
      </c>
      <c r="E19">
        <v>172</v>
      </c>
      <c r="F19">
        <v>88674107</v>
      </c>
      <c r="G19">
        <v>64</v>
      </c>
      <c r="H19">
        <f t="shared" si="0"/>
        <v>26.365603028664147</v>
      </c>
      <c r="I19" t="str">
        <f t="shared" si="1"/>
        <v>Overweight</v>
      </c>
    </row>
    <row r="20" spans="1:9" x14ac:dyDescent="0.2">
      <c r="A20">
        <v>44</v>
      </c>
      <c r="B20" t="s">
        <v>10</v>
      </c>
      <c r="C20" t="s">
        <v>8</v>
      </c>
      <c r="D20">
        <v>68</v>
      </c>
      <c r="E20">
        <v>172</v>
      </c>
      <c r="F20">
        <v>88684280</v>
      </c>
      <c r="G20">
        <v>29</v>
      </c>
      <c r="H20">
        <f t="shared" si="0"/>
        <v>22.985397512168742</v>
      </c>
      <c r="I20" t="str">
        <f t="shared" si="1"/>
        <v>Normal weight</v>
      </c>
    </row>
    <row r="21" spans="1:9" x14ac:dyDescent="0.2">
      <c r="A21">
        <v>23</v>
      </c>
      <c r="B21" t="s">
        <v>12</v>
      </c>
      <c r="C21" t="s">
        <v>8</v>
      </c>
      <c r="D21">
        <v>62</v>
      </c>
      <c r="E21">
        <v>171</v>
      </c>
      <c r="F21">
        <v>88712125</v>
      </c>
      <c r="G21">
        <v>101</v>
      </c>
      <c r="H21">
        <f t="shared" si="0"/>
        <v>21.203105228959341</v>
      </c>
      <c r="I21" t="str">
        <f t="shared" si="1"/>
        <v>Normal weight</v>
      </c>
    </row>
    <row r="22" spans="1:9" x14ac:dyDescent="0.2">
      <c r="A22">
        <v>26</v>
      </c>
      <c r="B22" t="s">
        <v>7</v>
      </c>
      <c r="C22" t="s">
        <v>8</v>
      </c>
      <c r="D22">
        <v>61</v>
      </c>
      <c r="E22">
        <v>171</v>
      </c>
      <c r="F22">
        <v>88680826</v>
      </c>
      <c r="G22">
        <v>11</v>
      </c>
      <c r="H22">
        <f t="shared" si="0"/>
        <v>20.861119660750319</v>
      </c>
      <c r="I22" t="str">
        <f t="shared" si="1"/>
        <v>Normal weight</v>
      </c>
    </row>
    <row r="23" spans="1:9" x14ac:dyDescent="0.2">
      <c r="A23">
        <v>40</v>
      </c>
      <c r="B23" t="s">
        <v>7</v>
      </c>
      <c r="C23" t="s">
        <v>8</v>
      </c>
      <c r="D23">
        <v>92</v>
      </c>
      <c r="E23">
        <v>170</v>
      </c>
      <c r="F23">
        <v>88673781</v>
      </c>
      <c r="G23">
        <v>61</v>
      </c>
      <c r="H23">
        <f t="shared" si="0"/>
        <v>31.833910034602081</v>
      </c>
      <c r="I23" t="str">
        <f t="shared" si="1"/>
        <v>Obesity I</v>
      </c>
    </row>
    <row r="24" spans="1:9" x14ac:dyDescent="0.2">
      <c r="A24">
        <v>40</v>
      </c>
      <c r="B24" t="s">
        <v>7</v>
      </c>
      <c r="C24" t="s">
        <v>8</v>
      </c>
      <c r="D24">
        <v>84</v>
      </c>
      <c r="E24">
        <v>170</v>
      </c>
      <c r="F24">
        <v>88678056</v>
      </c>
      <c r="G24">
        <v>1</v>
      </c>
      <c r="H24">
        <f t="shared" si="0"/>
        <v>29.065743944636683</v>
      </c>
      <c r="I24" t="str">
        <f t="shared" si="1"/>
        <v>Overweight</v>
      </c>
    </row>
    <row r="25" spans="1:9" x14ac:dyDescent="0.2">
      <c r="A25">
        <v>36</v>
      </c>
      <c r="B25" t="s">
        <v>9</v>
      </c>
      <c r="C25" t="s">
        <v>8</v>
      </c>
      <c r="D25">
        <v>80</v>
      </c>
      <c r="E25">
        <v>170</v>
      </c>
      <c r="F25">
        <v>88676532</v>
      </c>
      <c r="G25">
        <v>50</v>
      </c>
      <c r="H25">
        <f t="shared" si="0"/>
        <v>27.681660899653981</v>
      </c>
      <c r="I25" t="str">
        <f t="shared" si="1"/>
        <v>Overweight</v>
      </c>
    </row>
    <row r="26" spans="1:9" x14ac:dyDescent="0.2">
      <c r="A26">
        <v>33</v>
      </c>
      <c r="B26" t="s">
        <v>9</v>
      </c>
      <c r="C26" t="s">
        <v>8</v>
      </c>
      <c r="D26">
        <v>80</v>
      </c>
      <c r="E26">
        <v>170</v>
      </c>
      <c r="F26">
        <v>88687582</v>
      </c>
      <c r="G26">
        <v>35</v>
      </c>
      <c r="H26">
        <f t="shared" si="0"/>
        <v>27.681660899653981</v>
      </c>
      <c r="I26" t="str">
        <f t="shared" si="1"/>
        <v>Overweight</v>
      </c>
    </row>
    <row r="27" spans="1:9" x14ac:dyDescent="0.2">
      <c r="A27">
        <v>34</v>
      </c>
      <c r="B27" t="s">
        <v>7</v>
      </c>
      <c r="C27" t="s">
        <v>8</v>
      </c>
      <c r="D27">
        <v>78</v>
      </c>
      <c r="E27">
        <v>170</v>
      </c>
      <c r="F27">
        <v>88673989</v>
      </c>
      <c r="G27">
        <v>42</v>
      </c>
      <c r="H27">
        <f t="shared" si="0"/>
        <v>26.989619377162633</v>
      </c>
      <c r="I27" t="str">
        <f t="shared" si="1"/>
        <v>Overweight</v>
      </c>
    </row>
    <row r="28" spans="1:9" x14ac:dyDescent="0.2">
      <c r="A28">
        <v>33</v>
      </c>
      <c r="B28" t="s">
        <v>12</v>
      </c>
      <c r="C28" t="s">
        <v>8</v>
      </c>
      <c r="D28">
        <v>78</v>
      </c>
      <c r="E28">
        <v>170</v>
      </c>
      <c r="F28">
        <v>88733647</v>
      </c>
      <c r="G28">
        <v>111</v>
      </c>
      <c r="H28">
        <f t="shared" si="0"/>
        <v>26.989619377162633</v>
      </c>
      <c r="I28" t="str">
        <f t="shared" si="1"/>
        <v>Overweight</v>
      </c>
    </row>
    <row r="29" spans="1:9" x14ac:dyDescent="0.2">
      <c r="A29">
        <v>33</v>
      </c>
      <c r="B29" t="s">
        <v>7</v>
      </c>
      <c r="C29" t="s">
        <v>8</v>
      </c>
      <c r="D29">
        <v>78</v>
      </c>
      <c r="E29">
        <v>170</v>
      </c>
      <c r="F29">
        <v>88733647</v>
      </c>
      <c r="G29">
        <v>111</v>
      </c>
      <c r="H29">
        <f t="shared" si="0"/>
        <v>26.989619377162633</v>
      </c>
      <c r="I29" t="str">
        <f t="shared" si="1"/>
        <v>Overweight</v>
      </c>
    </row>
    <row r="30" spans="1:9" x14ac:dyDescent="0.2">
      <c r="A30">
        <v>37</v>
      </c>
      <c r="B30" t="s">
        <v>7</v>
      </c>
      <c r="C30" t="s">
        <v>8</v>
      </c>
      <c r="D30">
        <v>70</v>
      </c>
      <c r="E30">
        <v>170</v>
      </c>
      <c r="F30">
        <v>88710711</v>
      </c>
      <c r="G30">
        <v>100</v>
      </c>
      <c r="H30">
        <f t="shared" si="0"/>
        <v>24.221453287197235</v>
      </c>
      <c r="I30" t="str">
        <f t="shared" si="1"/>
        <v>Normal weight</v>
      </c>
    </row>
    <row r="31" spans="1:9" x14ac:dyDescent="0.2">
      <c r="A31">
        <v>37</v>
      </c>
      <c r="B31" t="s">
        <v>10</v>
      </c>
      <c r="C31" t="s">
        <v>8</v>
      </c>
      <c r="D31">
        <v>67</v>
      </c>
      <c r="E31">
        <v>170</v>
      </c>
      <c r="F31">
        <v>88674322</v>
      </c>
      <c r="G31">
        <v>74</v>
      </c>
      <c r="H31">
        <f t="shared" si="0"/>
        <v>23.183391003460208</v>
      </c>
      <c r="I31" t="str">
        <f t="shared" si="1"/>
        <v>Normal weight</v>
      </c>
    </row>
    <row r="32" spans="1:9" x14ac:dyDescent="0.2">
      <c r="A32">
        <v>31</v>
      </c>
      <c r="B32" t="s">
        <v>10</v>
      </c>
      <c r="C32" t="s">
        <v>8</v>
      </c>
      <c r="D32">
        <v>61</v>
      </c>
      <c r="E32">
        <v>170</v>
      </c>
      <c r="F32">
        <v>88702491</v>
      </c>
      <c r="G32">
        <v>97</v>
      </c>
      <c r="H32">
        <f t="shared" si="0"/>
        <v>21.107266435986162</v>
      </c>
      <c r="I32" t="str">
        <f t="shared" si="1"/>
        <v>Normal weight</v>
      </c>
    </row>
    <row r="33" spans="1:9" x14ac:dyDescent="0.2">
      <c r="A33">
        <v>23</v>
      </c>
      <c r="B33" t="s">
        <v>9</v>
      </c>
      <c r="C33" t="s">
        <v>8</v>
      </c>
      <c r="D33">
        <v>60</v>
      </c>
      <c r="E33">
        <v>170</v>
      </c>
      <c r="F33">
        <v>88729169</v>
      </c>
      <c r="G33">
        <v>110</v>
      </c>
      <c r="H33">
        <f t="shared" si="0"/>
        <v>20.761245674740486</v>
      </c>
      <c r="I33" t="str">
        <f t="shared" si="1"/>
        <v>Normal weight</v>
      </c>
    </row>
    <row r="34" spans="1:9" x14ac:dyDescent="0.2">
      <c r="A34">
        <v>27</v>
      </c>
      <c r="B34" t="s">
        <v>12</v>
      </c>
      <c r="C34" t="s">
        <v>8</v>
      </c>
      <c r="D34">
        <v>53</v>
      </c>
      <c r="E34">
        <v>170</v>
      </c>
      <c r="F34">
        <v>88675381</v>
      </c>
      <c r="G34">
        <v>92</v>
      </c>
      <c r="H34">
        <f t="shared" si="0"/>
        <v>18.339100346020764</v>
      </c>
      <c r="I34" t="str">
        <f t="shared" si="1"/>
        <v>Underweight</v>
      </c>
    </row>
    <row r="35" spans="1:9" x14ac:dyDescent="0.2">
      <c r="A35">
        <v>26</v>
      </c>
      <c r="B35" t="s">
        <v>7</v>
      </c>
      <c r="C35" t="s">
        <v>8</v>
      </c>
      <c r="D35">
        <v>53</v>
      </c>
      <c r="E35">
        <v>170</v>
      </c>
      <c r="F35">
        <v>88674098</v>
      </c>
      <c r="G35">
        <v>63</v>
      </c>
      <c r="H35">
        <f t="shared" si="0"/>
        <v>18.339100346020764</v>
      </c>
      <c r="I35" t="str">
        <f t="shared" si="1"/>
        <v>Underweight</v>
      </c>
    </row>
    <row r="36" spans="1:9" x14ac:dyDescent="0.2">
      <c r="A36">
        <v>39</v>
      </c>
      <c r="B36" t="s">
        <v>10</v>
      </c>
      <c r="C36" t="s">
        <v>8</v>
      </c>
      <c r="D36">
        <v>107</v>
      </c>
      <c r="E36">
        <v>169</v>
      </c>
      <c r="F36">
        <v>88674850</v>
      </c>
      <c r="G36">
        <v>87</v>
      </c>
      <c r="H36">
        <f t="shared" si="0"/>
        <v>37.463674241098005</v>
      </c>
      <c r="I36" t="str">
        <f t="shared" si="1"/>
        <v>Obesity II</v>
      </c>
    </row>
    <row r="37" spans="1:9" x14ac:dyDescent="0.2">
      <c r="A37">
        <v>37</v>
      </c>
      <c r="B37" t="s">
        <v>12</v>
      </c>
      <c r="C37" t="s">
        <v>8</v>
      </c>
      <c r="D37">
        <v>86</v>
      </c>
      <c r="E37">
        <v>169</v>
      </c>
      <c r="F37">
        <v>88679715</v>
      </c>
      <c r="G37">
        <v>51</v>
      </c>
      <c r="H37">
        <f t="shared" si="0"/>
        <v>30.110990511536716</v>
      </c>
      <c r="I37" t="str">
        <f t="shared" si="1"/>
        <v>Obesity I</v>
      </c>
    </row>
    <row r="38" spans="1:9" x14ac:dyDescent="0.2">
      <c r="A38">
        <v>37</v>
      </c>
      <c r="B38" t="s">
        <v>12</v>
      </c>
      <c r="C38" t="s">
        <v>11</v>
      </c>
      <c r="D38">
        <v>98</v>
      </c>
      <c r="E38">
        <v>168</v>
      </c>
      <c r="F38">
        <v>88674227</v>
      </c>
      <c r="G38">
        <v>70</v>
      </c>
      <c r="H38">
        <f t="shared" si="0"/>
        <v>34.722222222222229</v>
      </c>
      <c r="I38" t="str">
        <f t="shared" si="1"/>
        <v>Obesity I</v>
      </c>
    </row>
    <row r="39" spans="1:9" x14ac:dyDescent="0.2">
      <c r="A39">
        <v>37</v>
      </c>
      <c r="B39" t="s">
        <v>10</v>
      </c>
      <c r="C39" t="s">
        <v>11</v>
      </c>
      <c r="D39">
        <v>98</v>
      </c>
      <c r="E39">
        <v>168</v>
      </c>
      <c r="F39">
        <v>88674251</v>
      </c>
      <c r="G39">
        <v>71</v>
      </c>
      <c r="H39">
        <f t="shared" si="0"/>
        <v>34.722222222222229</v>
      </c>
      <c r="I39" t="str">
        <f t="shared" si="1"/>
        <v>Obesity I</v>
      </c>
    </row>
    <row r="40" spans="1:9" x14ac:dyDescent="0.2">
      <c r="A40">
        <v>22</v>
      </c>
      <c r="B40" t="s">
        <v>9</v>
      </c>
      <c r="C40" t="s">
        <v>8</v>
      </c>
      <c r="D40">
        <v>74</v>
      </c>
      <c r="E40">
        <v>168</v>
      </c>
      <c r="F40">
        <v>88676202</v>
      </c>
      <c r="G40">
        <v>56</v>
      </c>
      <c r="H40">
        <f t="shared" si="0"/>
        <v>26.218820861678008</v>
      </c>
      <c r="I40" t="str">
        <f t="shared" si="1"/>
        <v>Overweight</v>
      </c>
    </row>
    <row r="41" spans="1:9" x14ac:dyDescent="0.2">
      <c r="A41">
        <v>26</v>
      </c>
      <c r="B41" t="s">
        <v>10</v>
      </c>
      <c r="C41" t="s">
        <v>11</v>
      </c>
      <c r="D41">
        <v>98</v>
      </c>
      <c r="E41">
        <v>167</v>
      </c>
      <c r="F41">
        <v>88674554</v>
      </c>
      <c r="G41">
        <v>78</v>
      </c>
      <c r="H41">
        <f t="shared" si="0"/>
        <v>35.139302233855645</v>
      </c>
      <c r="I41" t="str">
        <f t="shared" si="1"/>
        <v>Obesity II</v>
      </c>
    </row>
    <row r="42" spans="1:9" x14ac:dyDescent="0.2">
      <c r="A42">
        <v>31</v>
      </c>
      <c r="B42" t="s">
        <v>9</v>
      </c>
      <c r="C42" t="s">
        <v>8</v>
      </c>
      <c r="D42">
        <v>75</v>
      </c>
      <c r="E42">
        <v>167</v>
      </c>
      <c r="F42">
        <v>88678140</v>
      </c>
      <c r="G42">
        <v>2</v>
      </c>
      <c r="H42">
        <f t="shared" si="0"/>
        <v>26.892323138154829</v>
      </c>
      <c r="I42" t="str">
        <f t="shared" si="1"/>
        <v>Overweight</v>
      </c>
    </row>
    <row r="43" spans="1:9" x14ac:dyDescent="0.2">
      <c r="A43">
        <v>24</v>
      </c>
      <c r="B43" t="s">
        <v>9</v>
      </c>
      <c r="C43" t="s">
        <v>8</v>
      </c>
      <c r="D43">
        <v>65</v>
      </c>
      <c r="E43">
        <v>167</v>
      </c>
      <c r="F43">
        <v>88677159</v>
      </c>
      <c r="G43">
        <v>7</v>
      </c>
      <c r="H43">
        <f t="shared" si="0"/>
        <v>23.306680053067517</v>
      </c>
      <c r="I43" t="str">
        <f t="shared" si="1"/>
        <v>Normal weight</v>
      </c>
    </row>
    <row r="44" spans="1:9" x14ac:dyDescent="0.2">
      <c r="A44">
        <v>22</v>
      </c>
      <c r="B44" t="s">
        <v>7</v>
      </c>
      <c r="C44" t="s">
        <v>8</v>
      </c>
      <c r="D44">
        <v>64</v>
      </c>
      <c r="E44">
        <v>167</v>
      </c>
      <c r="F44">
        <v>88722228</v>
      </c>
      <c r="G44">
        <v>107</v>
      </c>
      <c r="H44">
        <f t="shared" si="0"/>
        <v>22.948115744558788</v>
      </c>
      <c r="I44" t="str">
        <f t="shared" si="1"/>
        <v>Normal weight</v>
      </c>
    </row>
    <row r="45" spans="1:9" x14ac:dyDescent="0.2">
      <c r="A45">
        <v>28</v>
      </c>
      <c r="B45" t="s">
        <v>10</v>
      </c>
      <c r="C45" t="s">
        <v>11</v>
      </c>
      <c r="D45">
        <v>82</v>
      </c>
      <c r="E45">
        <v>165</v>
      </c>
      <c r="F45">
        <v>88676063</v>
      </c>
      <c r="G45">
        <v>57</v>
      </c>
      <c r="H45">
        <f t="shared" si="0"/>
        <v>30.119375573921033</v>
      </c>
      <c r="I45" t="str">
        <f t="shared" si="1"/>
        <v>Obesity I</v>
      </c>
    </row>
    <row r="46" spans="1:9" x14ac:dyDescent="0.2">
      <c r="A46">
        <v>23</v>
      </c>
      <c r="B46" t="s">
        <v>10</v>
      </c>
      <c r="C46" t="s">
        <v>8</v>
      </c>
      <c r="D46">
        <v>58</v>
      </c>
      <c r="E46">
        <v>165</v>
      </c>
      <c r="F46">
        <v>88684711</v>
      </c>
      <c r="G46">
        <v>27</v>
      </c>
      <c r="H46">
        <f t="shared" si="0"/>
        <v>21.30394857667585</v>
      </c>
      <c r="I46" t="str">
        <f t="shared" si="1"/>
        <v>Normal weight</v>
      </c>
    </row>
    <row r="47" spans="1:9" x14ac:dyDescent="0.2">
      <c r="A47">
        <v>29</v>
      </c>
      <c r="B47" t="s">
        <v>10</v>
      </c>
      <c r="C47" t="s">
        <v>11</v>
      </c>
      <c r="D47">
        <v>56</v>
      </c>
      <c r="E47">
        <v>165</v>
      </c>
      <c r="F47">
        <v>88676285</v>
      </c>
      <c r="G47">
        <v>55</v>
      </c>
      <c r="H47">
        <f t="shared" si="0"/>
        <v>20.569329660238754</v>
      </c>
      <c r="I47" t="str">
        <f t="shared" si="1"/>
        <v>Normal weight</v>
      </c>
    </row>
    <row r="48" spans="1:9" x14ac:dyDescent="0.2">
      <c r="A48">
        <v>28</v>
      </c>
      <c r="B48" t="s">
        <v>9</v>
      </c>
      <c r="C48" t="s">
        <v>8</v>
      </c>
      <c r="D48">
        <v>75</v>
      </c>
      <c r="E48">
        <v>164</v>
      </c>
      <c r="F48">
        <v>88678491</v>
      </c>
      <c r="G48">
        <v>36</v>
      </c>
      <c r="H48">
        <f t="shared" si="0"/>
        <v>27.885187388459254</v>
      </c>
      <c r="I48" t="str">
        <f t="shared" si="1"/>
        <v>Overweight</v>
      </c>
    </row>
    <row r="49" spans="1:9" x14ac:dyDescent="0.2">
      <c r="A49">
        <v>25</v>
      </c>
      <c r="B49" t="s">
        <v>12</v>
      </c>
      <c r="C49" t="s">
        <v>11</v>
      </c>
      <c r="D49">
        <v>51</v>
      </c>
      <c r="E49">
        <v>163</v>
      </c>
      <c r="F49">
        <v>88675878</v>
      </c>
      <c r="G49">
        <v>44</v>
      </c>
      <c r="H49">
        <f t="shared" si="0"/>
        <v>19.195302796492154</v>
      </c>
      <c r="I49" t="str">
        <f t="shared" si="1"/>
        <v>Normal weight</v>
      </c>
    </row>
    <row r="50" spans="1:9" x14ac:dyDescent="0.2">
      <c r="A50">
        <v>43</v>
      </c>
      <c r="B50" t="s">
        <v>7</v>
      </c>
      <c r="C50" t="s">
        <v>8</v>
      </c>
      <c r="D50">
        <v>78</v>
      </c>
      <c r="E50">
        <v>162</v>
      </c>
      <c r="F50">
        <v>88676872</v>
      </c>
      <c r="G50">
        <v>47</v>
      </c>
      <c r="H50">
        <f t="shared" si="0"/>
        <v>29.721079103795148</v>
      </c>
      <c r="I50" t="str">
        <f t="shared" si="1"/>
        <v>Overweight</v>
      </c>
    </row>
    <row r="51" spans="1:9" x14ac:dyDescent="0.2">
      <c r="A51">
        <v>19</v>
      </c>
      <c r="B51" t="s">
        <v>10</v>
      </c>
      <c r="C51" t="s">
        <v>8</v>
      </c>
      <c r="D51">
        <v>70</v>
      </c>
      <c r="E51">
        <v>162</v>
      </c>
      <c r="F51">
        <v>88676892</v>
      </c>
      <c r="G51">
        <v>46</v>
      </c>
      <c r="H51">
        <f t="shared" si="0"/>
        <v>26.672763298277697</v>
      </c>
      <c r="I51" t="str">
        <f t="shared" si="1"/>
        <v>Overweight</v>
      </c>
    </row>
    <row r="52" spans="1:9" x14ac:dyDescent="0.2">
      <c r="A52">
        <v>31</v>
      </c>
      <c r="B52" t="s">
        <v>7</v>
      </c>
      <c r="C52" t="s">
        <v>8</v>
      </c>
      <c r="D52">
        <v>65</v>
      </c>
      <c r="E52">
        <v>162</v>
      </c>
      <c r="F52">
        <v>88676320</v>
      </c>
      <c r="G52">
        <v>49</v>
      </c>
      <c r="H52">
        <f t="shared" si="0"/>
        <v>24.767565919829291</v>
      </c>
      <c r="I52" t="str">
        <f t="shared" si="1"/>
        <v>Normal weight</v>
      </c>
    </row>
    <row r="53" spans="1:9" x14ac:dyDescent="0.2">
      <c r="A53">
        <v>35</v>
      </c>
      <c r="B53" t="s">
        <v>9</v>
      </c>
      <c r="C53" t="s">
        <v>8</v>
      </c>
      <c r="D53">
        <v>49</v>
      </c>
      <c r="E53">
        <v>162</v>
      </c>
      <c r="F53">
        <v>88674840</v>
      </c>
      <c r="G53">
        <v>86</v>
      </c>
      <c r="H53">
        <f t="shared" si="0"/>
        <v>18.670934308794386</v>
      </c>
      <c r="I53" t="str">
        <f t="shared" si="1"/>
        <v>Normal weight</v>
      </c>
    </row>
    <row r="54" spans="1:9" x14ac:dyDescent="0.2">
      <c r="A54">
        <v>28</v>
      </c>
      <c r="B54" t="s">
        <v>7</v>
      </c>
      <c r="C54" t="s">
        <v>11</v>
      </c>
      <c r="D54">
        <v>70</v>
      </c>
      <c r="E54">
        <v>160</v>
      </c>
      <c r="F54">
        <v>88675738</v>
      </c>
      <c r="G54">
        <v>94</v>
      </c>
      <c r="H54">
        <f t="shared" si="0"/>
        <v>27.343749999999996</v>
      </c>
      <c r="I54" t="str">
        <f t="shared" si="1"/>
        <v>Overweight</v>
      </c>
    </row>
    <row r="55" spans="1:9" x14ac:dyDescent="0.2">
      <c r="A55">
        <v>30</v>
      </c>
      <c r="B55" t="s">
        <v>7</v>
      </c>
      <c r="C55" t="s">
        <v>8</v>
      </c>
      <c r="D55">
        <v>90</v>
      </c>
      <c r="E55">
        <v>160</v>
      </c>
      <c r="F55">
        <v>88674819</v>
      </c>
      <c r="G55">
        <v>85</v>
      </c>
      <c r="H55">
        <f t="shared" si="0"/>
        <v>35.156249999999993</v>
      </c>
      <c r="I55" t="str">
        <f t="shared" si="1"/>
        <v>Obesity II</v>
      </c>
    </row>
    <row r="56" spans="1:9" x14ac:dyDescent="0.2">
      <c r="A56">
        <v>31</v>
      </c>
      <c r="B56" t="s">
        <v>9</v>
      </c>
      <c r="C56" t="s">
        <v>11</v>
      </c>
      <c r="D56">
        <v>85</v>
      </c>
      <c r="E56">
        <v>160</v>
      </c>
      <c r="F56">
        <v>88675543</v>
      </c>
      <c r="G56">
        <v>93</v>
      </c>
      <c r="H56">
        <f t="shared" si="0"/>
        <v>33.203124999999993</v>
      </c>
      <c r="I56" t="str">
        <f t="shared" si="1"/>
        <v>Obesity I</v>
      </c>
    </row>
    <row r="57" spans="1:9" x14ac:dyDescent="0.2">
      <c r="A57">
        <v>30</v>
      </c>
      <c r="B57" t="s">
        <v>12</v>
      </c>
      <c r="C57" t="s">
        <v>11</v>
      </c>
      <c r="D57">
        <v>80</v>
      </c>
      <c r="E57">
        <v>160</v>
      </c>
      <c r="F57">
        <v>88675303</v>
      </c>
      <c r="G57">
        <v>91</v>
      </c>
      <c r="H57">
        <f t="shared" si="0"/>
        <v>31.249999999999993</v>
      </c>
      <c r="I57" t="str">
        <f t="shared" si="1"/>
        <v>Obesity I</v>
      </c>
    </row>
    <row r="58" spans="1:9" x14ac:dyDescent="0.2">
      <c r="A58">
        <v>27</v>
      </c>
      <c r="B58" t="s">
        <v>12</v>
      </c>
      <c r="C58" t="s">
        <v>8</v>
      </c>
      <c r="D58">
        <v>80</v>
      </c>
      <c r="E58">
        <v>160</v>
      </c>
      <c r="F58">
        <v>88675435</v>
      </c>
      <c r="G58">
        <v>33</v>
      </c>
      <c r="H58">
        <f t="shared" si="0"/>
        <v>31.249999999999993</v>
      </c>
      <c r="I58" t="str">
        <f t="shared" si="1"/>
        <v>Obesity I</v>
      </c>
    </row>
    <row r="59" spans="1:9" x14ac:dyDescent="0.2">
      <c r="A59">
        <v>25</v>
      </c>
      <c r="B59" t="s">
        <v>12</v>
      </c>
      <c r="C59" t="s">
        <v>11</v>
      </c>
      <c r="D59">
        <v>80</v>
      </c>
      <c r="E59">
        <v>160</v>
      </c>
      <c r="F59">
        <v>88675746</v>
      </c>
      <c r="G59">
        <v>43</v>
      </c>
      <c r="H59">
        <f t="shared" si="0"/>
        <v>31.249999999999993</v>
      </c>
      <c r="I59" t="str">
        <f t="shared" si="1"/>
        <v>Obesity I</v>
      </c>
    </row>
    <row r="60" spans="1:9" x14ac:dyDescent="0.2">
      <c r="A60">
        <v>20</v>
      </c>
      <c r="B60" t="s">
        <v>12</v>
      </c>
      <c r="C60" t="s">
        <v>11</v>
      </c>
      <c r="D60">
        <v>80</v>
      </c>
      <c r="E60">
        <v>160</v>
      </c>
      <c r="F60">
        <v>88686329</v>
      </c>
      <c r="G60">
        <v>31</v>
      </c>
      <c r="H60">
        <f t="shared" si="0"/>
        <v>31.249999999999993</v>
      </c>
      <c r="I60" t="str">
        <f t="shared" si="1"/>
        <v>Obesity I</v>
      </c>
    </row>
    <row r="61" spans="1:9" x14ac:dyDescent="0.2">
      <c r="A61">
        <v>48</v>
      </c>
      <c r="B61" t="s">
        <v>10</v>
      </c>
      <c r="C61" t="s">
        <v>11</v>
      </c>
      <c r="D61">
        <v>78</v>
      </c>
      <c r="E61">
        <v>160</v>
      </c>
      <c r="F61">
        <v>88682434</v>
      </c>
      <c r="G61">
        <v>20</v>
      </c>
      <c r="H61">
        <f t="shared" si="0"/>
        <v>30.468749999999993</v>
      </c>
      <c r="I61" t="str">
        <f t="shared" si="1"/>
        <v>Obesity I</v>
      </c>
    </row>
    <row r="62" spans="1:9" x14ac:dyDescent="0.2">
      <c r="A62">
        <v>48</v>
      </c>
      <c r="B62" t="s">
        <v>9</v>
      </c>
      <c r="C62" t="s">
        <v>11</v>
      </c>
      <c r="D62">
        <v>78</v>
      </c>
      <c r="E62">
        <v>160</v>
      </c>
      <c r="F62">
        <v>88682434</v>
      </c>
      <c r="G62">
        <v>20</v>
      </c>
      <c r="H62">
        <f t="shared" si="0"/>
        <v>30.468749999999993</v>
      </c>
      <c r="I62" t="str">
        <f t="shared" si="1"/>
        <v>Obesity I</v>
      </c>
    </row>
    <row r="63" spans="1:9" x14ac:dyDescent="0.2">
      <c r="A63">
        <v>27</v>
      </c>
      <c r="B63" t="s">
        <v>9</v>
      </c>
      <c r="C63" t="s">
        <v>8</v>
      </c>
      <c r="D63">
        <v>75</v>
      </c>
      <c r="E63">
        <v>160</v>
      </c>
      <c r="F63">
        <v>88676512</v>
      </c>
      <c r="G63">
        <v>52</v>
      </c>
      <c r="H63">
        <f t="shared" si="0"/>
        <v>29.296874999999993</v>
      </c>
      <c r="I63" t="str">
        <f t="shared" si="1"/>
        <v>Overweight</v>
      </c>
    </row>
    <row r="64" spans="1:9" x14ac:dyDescent="0.2">
      <c r="A64">
        <v>39</v>
      </c>
      <c r="B64" t="s">
        <v>12</v>
      </c>
      <c r="C64" t="s">
        <v>8</v>
      </c>
      <c r="D64">
        <v>74</v>
      </c>
      <c r="E64">
        <v>160</v>
      </c>
      <c r="F64">
        <v>88676583</v>
      </c>
      <c r="G64">
        <v>60</v>
      </c>
      <c r="H64">
        <f t="shared" si="0"/>
        <v>28.906249999999993</v>
      </c>
      <c r="I64" t="str">
        <f t="shared" si="1"/>
        <v>Overweight</v>
      </c>
    </row>
    <row r="65" spans="1:9" x14ac:dyDescent="0.2">
      <c r="A65">
        <v>39</v>
      </c>
      <c r="B65" t="s">
        <v>10</v>
      </c>
      <c r="C65" t="s">
        <v>8</v>
      </c>
      <c r="D65">
        <v>74</v>
      </c>
      <c r="E65">
        <v>160</v>
      </c>
      <c r="F65">
        <v>88677038</v>
      </c>
      <c r="G65">
        <v>4</v>
      </c>
      <c r="H65">
        <f t="shared" si="0"/>
        <v>28.906249999999993</v>
      </c>
      <c r="I65" t="str">
        <f t="shared" si="1"/>
        <v>Overweight</v>
      </c>
    </row>
    <row r="66" spans="1:9" x14ac:dyDescent="0.2">
      <c r="A66">
        <v>26</v>
      </c>
      <c r="B66" t="s">
        <v>10</v>
      </c>
      <c r="C66" t="s">
        <v>8</v>
      </c>
      <c r="D66">
        <v>71</v>
      </c>
      <c r="E66">
        <v>160</v>
      </c>
      <c r="F66">
        <v>88680960</v>
      </c>
      <c r="G66">
        <v>16</v>
      </c>
      <c r="H66">
        <f t="shared" si="0"/>
        <v>27.734374999999993</v>
      </c>
      <c r="I66" t="str">
        <f t="shared" si="1"/>
        <v>Overweight</v>
      </c>
    </row>
    <row r="67" spans="1:9" x14ac:dyDescent="0.2">
      <c r="A67">
        <v>35</v>
      </c>
      <c r="B67" t="s">
        <v>12</v>
      </c>
      <c r="C67" t="s">
        <v>8</v>
      </c>
      <c r="D67">
        <v>70</v>
      </c>
      <c r="E67">
        <v>160</v>
      </c>
      <c r="F67">
        <v>88676354</v>
      </c>
      <c r="G67">
        <v>54</v>
      </c>
      <c r="H67">
        <f t="shared" ref="H67:H118" si="2">D67/((E67/100)^2)</f>
        <v>27.343749999999996</v>
      </c>
      <c r="I67" t="str">
        <f t="shared" ref="I67:I118" si="3">_xlfn.LET(_xlpm.bmi, D67/((E67/100)^2),
IF(_xlpm.bmi&lt;18.5,"Underweight",
IF(_xlpm.bmi&lt;25,"Normal weight",
IF(_xlpm.bmi&lt;30,"Overweight",
IF(_xlpm.bmi&lt;35,"Obesity I",
IF(_xlpm.bmi&lt;40,"Obesity II","Obesity III"))))))</f>
        <v>Overweight</v>
      </c>
    </row>
    <row r="68" spans="1:9" x14ac:dyDescent="0.2">
      <c r="A68">
        <v>32</v>
      </c>
      <c r="B68" t="s">
        <v>10</v>
      </c>
      <c r="C68" t="s">
        <v>11</v>
      </c>
      <c r="D68">
        <v>68</v>
      </c>
      <c r="E68">
        <v>160</v>
      </c>
      <c r="F68">
        <v>88701154</v>
      </c>
      <c r="G68">
        <v>95</v>
      </c>
      <c r="H68">
        <f t="shared" si="2"/>
        <v>26.562499999999996</v>
      </c>
      <c r="I68" t="str">
        <f t="shared" si="3"/>
        <v>Overweight</v>
      </c>
    </row>
    <row r="69" spans="1:9" x14ac:dyDescent="0.2">
      <c r="A69">
        <v>28</v>
      </c>
      <c r="B69" t="s">
        <v>7</v>
      </c>
      <c r="C69" t="s">
        <v>8</v>
      </c>
      <c r="D69">
        <v>68</v>
      </c>
      <c r="E69">
        <v>160</v>
      </c>
      <c r="F69">
        <v>88717784</v>
      </c>
      <c r="G69">
        <v>103</v>
      </c>
      <c r="H69">
        <f t="shared" si="2"/>
        <v>26.562499999999996</v>
      </c>
      <c r="I69" t="str">
        <f t="shared" si="3"/>
        <v>Overweight</v>
      </c>
    </row>
    <row r="70" spans="1:9" x14ac:dyDescent="0.2">
      <c r="A70">
        <v>25</v>
      </c>
      <c r="B70" t="s">
        <v>10</v>
      </c>
      <c r="C70" t="s">
        <v>11</v>
      </c>
      <c r="D70">
        <v>65</v>
      </c>
      <c r="E70">
        <v>160</v>
      </c>
      <c r="F70">
        <v>88678221</v>
      </c>
      <c r="G70">
        <v>3</v>
      </c>
      <c r="H70">
        <f t="shared" si="2"/>
        <v>25.390624999999996</v>
      </c>
      <c r="I70" t="str">
        <f t="shared" si="3"/>
        <v>Overweight</v>
      </c>
    </row>
    <row r="71" spans="1:9" x14ac:dyDescent="0.2">
      <c r="A71">
        <v>25</v>
      </c>
      <c r="B71" t="s">
        <v>9</v>
      </c>
      <c r="C71" t="s">
        <v>8</v>
      </c>
      <c r="D71">
        <v>65</v>
      </c>
      <c r="E71">
        <v>160</v>
      </c>
      <c r="F71">
        <v>88741221</v>
      </c>
      <c r="G71">
        <v>118</v>
      </c>
      <c r="H71">
        <f t="shared" si="2"/>
        <v>25.390624999999996</v>
      </c>
      <c r="I71" t="str">
        <f t="shared" si="3"/>
        <v>Overweight</v>
      </c>
    </row>
    <row r="72" spans="1:9" x14ac:dyDescent="0.2">
      <c r="A72">
        <v>33</v>
      </c>
      <c r="B72" t="s">
        <v>12</v>
      </c>
      <c r="C72" t="s">
        <v>8</v>
      </c>
      <c r="D72">
        <v>64</v>
      </c>
      <c r="E72">
        <v>160</v>
      </c>
      <c r="F72">
        <v>88734185</v>
      </c>
      <c r="G72">
        <v>112</v>
      </c>
      <c r="H72">
        <f t="shared" si="2"/>
        <v>24.999999999999996</v>
      </c>
      <c r="I72" t="str">
        <f t="shared" si="3"/>
        <v>Overweight</v>
      </c>
    </row>
    <row r="73" spans="1:9" x14ac:dyDescent="0.2">
      <c r="A73">
        <v>33</v>
      </c>
      <c r="B73" t="s">
        <v>7</v>
      </c>
      <c r="C73" t="s">
        <v>8</v>
      </c>
      <c r="D73">
        <v>64</v>
      </c>
      <c r="E73">
        <v>160</v>
      </c>
      <c r="F73">
        <v>88734185</v>
      </c>
      <c r="G73">
        <v>112</v>
      </c>
      <c r="H73">
        <f t="shared" si="2"/>
        <v>24.999999999999996</v>
      </c>
      <c r="I73" t="str">
        <f t="shared" si="3"/>
        <v>Overweight</v>
      </c>
    </row>
    <row r="74" spans="1:9" x14ac:dyDescent="0.2">
      <c r="A74">
        <v>38</v>
      </c>
      <c r="B74" t="s">
        <v>12</v>
      </c>
      <c r="C74" t="s">
        <v>8</v>
      </c>
      <c r="D74">
        <v>62</v>
      </c>
      <c r="E74">
        <v>160</v>
      </c>
      <c r="F74">
        <v>88684870</v>
      </c>
      <c r="G74">
        <v>26</v>
      </c>
      <c r="H74">
        <f t="shared" si="2"/>
        <v>24.218749999999996</v>
      </c>
      <c r="I74" t="str">
        <f t="shared" si="3"/>
        <v>Normal weight</v>
      </c>
    </row>
    <row r="75" spans="1:9" x14ac:dyDescent="0.2">
      <c r="A75">
        <v>40</v>
      </c>
      <c r="B75" t="s">
        <v>12</v>
      </c>
      <c r="C75" t="s">
        <v>8</v>
      </c>
      <c r="D75">
        <v>61</v>
      </c>
      <c r="E75">
        <v>160</v>
      </c>
      <c r="F75">
        <v>88687725</v>
      </c>
      <c r="G75">
        <v>34</v>
      </c>
      <c r="H75">
        <f t="shared" si="2"/>
        <v>23.828124999999996</v>
      </c>
      <c r="I75" t="str">
        <f t="shared" si="3"/>
        <v>Normal weight</v>
      </c>
    </row>
    <row r="76" spans="1:9" x14ac:dyDescent="0.2">
      <c r="A76">
        <v>33</v>
      </c>
      <c r="B76" t="s">
        <v>10</v>
      </c>
      <c r="C76" t="s">
        <v>8</v>
      </c>
      <c r="D76">
        <v>61</v>
      </c>
      <c r="E76">
        <v>160</v>
      </c>
      <c r="F76">
        <v>88674032</v>
      </c>
      <c r="G76">
        <v>62</v>
      </c>
      <c r="H76">
        <f t="shared" si="2"/>
        <v>23.828124999999996</v>
      </c>
      <c r="I76" t="str">
        <f t="shared" si="3"/>
        <v>Normal weight</v>
      </c>
    </row>
    <row r="77" spans="1:9" x14ac:dyDescent="0.2">
      <c r="A77">
        <v>40</v>
      </c>
      <c r="B77" t="s">
        <v>9</v>
      </c>
      <c r="C77" t="s">
        <v>8</v>
      </c>
      <c r="D77">
        <v>60</v>
      </c>
      <c r="E77">
        <v>160</v>
      </c>
      <c r="F77">
        <v>88735363</v>
      </c>
      <c r="G77">
        <v>114</v>
      </c>
      <c r="H77">
        <f t="shared" si="2"/>
        <v>23.437499999999996</v>
      </c>
      <c r="I77" t="str">
        <f t="shared" si="3"/>
        <v>Normal weight</v>
      </c>
    </row>
    <row r="78" spans="1:9" x14ac:dyDescent="0.2">
      <c r="A78">
        <v>27</v>
      </c>
      <c r="B78" t="s">
        <v>12</v>
      </c>
      <c r="C78" t="s">
        <v>8</v>
      </c>
      <c r="D78">
        <v>60</v>
      </c>
      <c r="E78">
        <v>160</v>
      </c>
      <c r="F78">
        <v>88676489</v>
      </c>
      <c r="G78">
        <v>53</v>
      </c>
      <c r="H78">
        <f t="shared" si="2"/>
        <v>23.437499999999996</v>
      </c>
      <c r="I78" t="str">
        <f t="shared" si="3"/>
        <v>Normal weight</v>
      </c>
    </row>
    <row r="79" spans="1:9" x14ac:dyDescent="0.2">
      <c r="A79">
        <v>27</v>
      </c>
      <c r="B79" t="s">
        <v>12</v>
      </c>
      <c r="C79" t="s">
        <v>8</v>
      </c>
      <c r="D79">
        <v>60</v>
      </c>
      <c r="E79">
        <v>160</v>
      </c>
      <c r="F79">
        <v>88676489</v>
      </c>
      <c r="G79">
        <v>53</v>
      </c>
      <c r="H79">
        <f t="shared" si="2"/>
        <v>23.437499999999996</v>
      </c>
      <c r="I79" t="str">
        <f t="shared" si="3"/>
        <v>Normal weight</v>
      </c>
    </row>
    <row r="80" spans="1:9" x14ac:dyDescent="0.2">
      <c r="A80">
        <v>20</v>
      </c>
      <c r="B80" t="s">
        <v>9</v>
      </c>
      <c r="C80" t="s">
        <v>8</v>
      </c>
      <c r="D80">
        <v>60</v>
      </c>
      <c r="E80">
        <v>160</v>
      </c>
      <c r="F80">
        <v>88675298</v>
      </c>
      <c r="G80">
        <v>90</v>
      </c>
      <c r="H80">
        <f t="shared" si="2"/>
        <v>23.437499999999996</v>
      </c>
      <c r="I80" t="str">
        <f t="shared" si="3"/>
        <v>Normal weight</v>
      </c>
    </row>
    <row r="81" spans="1:9" x14ac:dyDescent="0.2">
      <c r="A81">
        <v>35</v>
      </c>
      <c r="B81" t="s">
        <v>7</v>
      </c>
      <c r="C81" t="s">
        <v>11</v>
      </c>
      <c r="D81">
        <v>59</v>
      </c>
      <c r="E81">
        <v>160</v>
      </c>
      <c r="F81">
        <v>88679577</v>
      </c>
      <c r="G81">
        <v>10</v>
      </c>
      <c r="H81">
        <f t="shared" si="2"/>
        <v>23.046874999999996</v>
      </c>
      <c r="I81" t="str">
        <f t="shared" si="3"/>
        <v>Normal weight</v>
      </c>
    </row>
    <row r="82" spans="1:9" x14ac:dyDescent="0.2">
      <c r="A82">
        <v>32</v>
      </c>
      <c r="B82" t="s">
        <v>10</v>
      </c>
      <c r="C82" t="s">
        <v>11</v>
      </c>
      <c r="D82">
        <v>87</v>
      </c>
      <c r="E82">
        <v>159</v>
      </c>
      <c r="F82">
        <v>88679331</v>
      </c>
      <c r="G82">
        <v>9</v>
      </c>
      <c r="H82">
        <f t="shared" si="2"/>
        <v>34.413195680550608</v>
      </c>
      <c r="I82" t="str">
        <f t="shared" si="3"/>
        <v>Obesity I</v>
      </c>
    </row>
    <row r="83" spans="1:9" x14ac:dyDescent="0.2">
      <c r="A83">
        <v>31</v>
      </c>
      <c r="B83" t="s">
        <v>12</v>
      </c>
      <c r="C83" t="s">
        <v>11</v>
      </c>
      <c r="D83">
        <v>110</v>
      </c>
      <c r="E83">
        <v>158</v>
      </c>
      <c r="F83">
        <v>88674641</v>
      </c>
      <c r="G83">
        <v>79</v>
      </c>
      <c r="H83">
        <f t="shared" si="2"/>
        <v>44.063451369972753</v>
      </c>
      <c r="I83" t="str">
        <f t="shared" si="3"/>
        <v>Obesity III</v>
      </c>
    </row>
    <row r="84" spans="1:9" x14ac:dyDescent="0.2">
      <c r="A84">
        <v>30</v>
      </c>
      <c r="B84" t="s">
        <v>9</v>
      </c>
      <c r="C84" t="s">
        <v>11</v>
      </c>
      <c r="D84">
        <v>88.2</v>
      </c>
      <c r="E84">
        <v>156</v>
      </c>
      <c r="F84">
        <v>88677556</v>
      </c>
      <c r="G84">
        <v>6</v>
      </c>
      <c r="H84">
        <f t="shared" si="2"/>
        <v>36.242603550295854</v>
      </c>
      <c r="I84" t="str">
        <f t="shared" si="3"/>
        <v>Obesity II</v>
      </c>
    </row>
    <row r="85" spans="1:9" x14ac:dyDescent="0.2">
      <c r="A85">
        <v>21</v>
      </c>
      <c r="B85" t="s">
        <v>10</v>
      </c>
      <c r="C85" t="s">
        <v>11</v>
      </c>
      <c r="D85">
        <v>52</v>
      </c>
      <c r="E85">
        <v>155</v>
      </c>
      <c r="F85">
        <v>88738679</v>
      </c>
      <c r="G85">
        <v>117</v>
      </c>
      <c r="H85">
        <f t="shared" si="2"/>
        <v>21.644120707596251</v>
      </c>
      <c r="I85" t="str">
        <f t="shared" si="3"/>
        <v>Normal weight</v>
      </c>
    </row>
    <row r="86" spans="1:9" x14ac:dyDescent="0.2">
      <c r="A86">
        <v>21</v>
      </c>
      <c r="B86" t="s">
        <v>12</v>
      </c>
      <c r="C86" t="s">
        <v>8</v>
      </c>
      <c r="D86">
        <v>57</v>
      </c>
      <c r="E86">
        <v>154</v>
      </c>
      <c r="F86">
        <v>88680955</v>
      </c>
      <c r="G86">
        <v>17</v>
      </c>
      <c r="H86">
        <f t="shared" si="2"/>
        <v>24.034407151290267</v>
      </c>
      <c r="I86" t="str">
        <f t="shared" si="3"/>
        <v>Normal weight</v>
      </c>
    </row>
    <row r="87" spans="1:9" x14ac:dyDescent="0.2">
      <c r="A87">
        <v>24</v>
      </c>
      <c r="B87" t="s">
        <v>12</v>
      </c>
      <c r="C87" t="s">
        <v>11</v>
      </c>
      <c r="D87">
        <v>68.400000000000006</v>
      </c>
      <c r="E87">
        <v>153</v>
      </c>
      <c r="F87">
        <v>88674381</v>
      </c>
      <c r="G87">
        <v>76</v>
      </c>
      <c r="H87">
        <f t="shared" si="2"/>
        <v>29.219530949634759</v>
      </c>
      <c r="I87" t="str">
        <f t="shared" si="3"/>
        <v>Overweight</v>
      </c>
    </row>
    <row r="88" spans="1:9" x14ac:dyDescent="0.2">
      <c r="A88">
        <v>33</v>
      </c>
      <c r="B88" t="s">
        <v>9</v>
      </c>
      <c r="C88" t="s">
        <v>11</v>
      </c>
      <c r="D88">
        <v>110</v>
      </c>
      <c r="E88">
        <v>152</v>
      </c>
      <c r="F88">
        <v>88738241</v>
      </c>
      <c r="G88">
        <v>116</v>
      </c>
      <c r="H88">
        <f t="shared" si="2"/>
        <v>47.61080332409972</v>
      </c>
      <c r="I88" t="str">
        <f t="shared" si="3"/>
        <v>Obesity III</v>
      </c>
    </row>
    <row r="89" spans="1:9" x14ac:dyDescent="0.2">
      <c r="A89">
        <v>27</v>
      </c>
      <c r="B89" t="s">
        <v>10</v>
      </c>
      <c r="C89" t="s">
        <v>11</v>
      </c>
      <c r="D89">
        <v>48</v>
      </c>
      <c r="E89">
        <v>152</v>
      </c>
      <c r="F89">
        <v>88749728</v>
      </c>
      <c r="G89">
        <v>120</v>
      </c>
      <c r="H89">
        <f t="shared" si="2"/>
        <v>20.775623268698062</v>
      </c>
      <c r="I89" t="str">
        <f t="shared" si="3"/>
        <v>Normal weight</v>
      </c>
    </row>
    <row r="90" spans="1:9" x14ac:dyDescent="0.2">
      <c r="A90">
        <v>28</v>
      </c>
      <c r="B90" t="s">
        <v>9</v>
      </c>
      <c r="C90" t="s">
        <v>8</v>
      </c>
      <c r="D90">
        <v>90</v>
      </c>
      <c r="E90">
        <v>150</v>
      </c>
      <c r="F90">
        <v>88681659</v>
      </c>
      <c r="G90">
        <v>14</v>
      </c>
      <c r="H90">
        <f t="shared" si="2"/>
        <v>40</v>
      </c>
      <c r="I90" t="str">
        <f t="shared" si="3"/>
        <v>Obesity III</v>
      </c>
    </row>
    <row r="91" spans="1:9" x14ac:dyDescent="0.2">
      <c r="A91">
        <v>30</v>
      </c>
      <c r="B91" t="s">
        <v>9</v>
      </c>
      <c r="C91" t="s">
        <v>8</v>
      </c>
      <c r="D91">
        <v>89</v>
      </c>
      <c r="E91">
        <v>150</v>
      </c>
      <c r="F91">
        <v>88674127</v>
      </c>
      <c r="G91">
        <v>65</v>
      </c>
      <c r="H91">
        <f t="shared" si="2"/>
        <v>39.555555555555557</v>
      </c>
      <c r="I91" t="str">
        <f t="shared" si="3"/>
        <v>Obesity II</v>
      </c>
    </row>
    <row r="92" spans="1:9" x14ac:dyDescent="0.2">
      <c r="A92">
        <v>32</v>
      </c>
      <c r="B92" t="s">
        <v>7</v>
      </c>
      <c r="C92" t="s">
        <v>8</v>
      </c>
      <c r="D92">
        <v>87</v>
      </c>
      <c r="E92">
        <v>150</v>
      </c>
      <c r="F92">
        <v>88703619</v>
      </c>
      <c r="G92">
        <v>98</v>
      </c>
      <c r="H92">
        <f t="shared" si="2"/>
        <v>38.666666666666664</v>
      </c>
      <c r="I92" t="str">
        <f t="shared" si="3"/>
        <v>Obesity II</v>
      </c>
    </row>
    <row r="93" spans="1:9" x14ac:dyDescent="0.2">
      <c r="A93">
        <v>32</v>
      </c>
      <c r="B93" t="s">
        <v>9</v>
      </c>
      <c r="C93" t="s">
        <v>8</v>
      </c>
      <c r="D93">
        <v>87</v>
      </c>
      <c r="E93">
        <v>150</v>
      </c>
      <c r="F93">
        <v>88704054</v>
      </c>
      <c r="G93">
        <v>99</v>
      </c>
      <c r="H93">
        <f t="shared" si="2"/>
        <v>38.666666666666664</v>
      </c>
      <c r="I93" t="str">
        <f t="shared" si="3"/>
        <v>Obesity II</v>
      </c>
    </row>
    <row r="94" spans="1:9" x14ac:dyDescent="0.2">
      <c r="A94">
        <v>33</v>
      </c>
      <c r="B94" t="s">
        <v>9</v>
      </c>
      <c r="C94" t="s">
        <v>8</v>
      </c>
      <c r="D94">
        <v>84</v>
      </c>
      <c r="E94">
        <v>150</v>
      </c>
      <c r="F94">
        <v>88682371</v>
      </c>
      <c r="G94">
        <v>22</v>
      </c>
      <c r="H94">
        <f t="shared" si="2"/>
        <v>37.333333333333336</v>
      </c>
      <c r="I94" t="str">
        <f t="shared" si="3"/>
        <v>Obesity II</v>
      </c>
    </row>
    <row r="95" spans="1:9" x14ac:dyDescent="0.2">
      <c r="A95">
        <v>33</v>
      </c>
      <c r="B95" t="s">
        <v>7</v>
      </c>
      <c r="C95" t="s">
        <v>8</v>
      </c>
      <c r="D95">
        <v>84</v>
      </c>
      <c r="E95">
        <v>150</v>
      </c>
      <c r="F95">
        <v>88682371</v>
      </c>
      <c r="G95">
        <v>22</v>
      </c>
      <c r="H95">
        <f t="shared" si="2"/>
        <v>37.333333333333336</v>
      </c>
      <c r="I95" t="str">
        <f t="shared" si="3"/>
        <v>Obesity II</v>
      </c>
    </row>
    <row r="96" spans="1:9" x14ac:dyDescent="0.2">
      <c r="A96">
        <v>28</v>
      </c>
      <c r="B96" t="s">
        <v>9</v>
      </c>
      <c r="C96" t="s">
        <v>11</v>
      </c>
      <c r="D96">
        <v>80</v>
      </c>
      <c r="E96">
        <v>150</v>
      </c>
      <c r="F96">
        <v>88743861</v>
      </c>
      <c r="G96">
        <v>119</v>
      </c>
      <c r="H96">
        <f t="shared" si="2"/>
        <v>35.555555555555557</v>
      </c>
      <c r="I96" t="str">
        <f t="shared" si="3"/>
        <v>Obesity II</v>
      </c>
    </row>
    <row r="97" spans="1:9" x14ac:dyDescent="0.2">
      <c r="A97">
        <v>40</v>
      </c>
      <c r="B97" t="s">
        <v>10</v>
      </c>
      <c r="C97" t="s">
        <v>11</v>
      </c>
      <c r="D97">
        <v>73</v>
      </c>
      <c r="E97">
        <v>150</v>
      </c>
      <c r="F97">
        <v>88684021</v>
      </c>
      <c r="G97">
        <v>24</v>
      </c>
      <c r="H97">
        <f t="shared" si="2"/>
        <v>32.444444444444443</v>
      </c>
      <c r="I97" t="str">
        <f t="shared" si="3"/>
        <v>Obesity I</v>
      </c>
    </row>
    <row r="98" spans="1:9" x14ac:dyDescent="0.2">
      <c r="A98">
        <v>31</v>
      </c>
      <c r="B98" t="s">
        <v>9</v>
      </c>
      <c r="C98" t="s">
        <v>8</v>
      </c>
      <c r="D98">
        <v>70</v>
      </c>
      <c r="E98">
        <v>150</v>
      </c>
      <c r="F98">
        <v>88682423</v>
      </c>
      <c r="G98">
        <v>21</v>
      </c>
      <c r="H98">
        <f t="shared" si="2"/>
        <v>31.111111111111111</v>
      </c>
      <c r="I98" t="str">
        <f t="shared" si="3"/>
        <v>Obesity I</v>
      </c>
    </row>
    <row r="99" spans="1:9" x14ac:dyDescent="0.2">
      <c r="A99">
        <v>31</v>
      </c>
      <c r="B99" t="s">
        <v>7</v>
      </c>
      <c r="C99" t="s">
        <v>8</v>
      </c>
      <c r="D99">
        <v>70</v>
      </c>
      <c r="E99">
        <v>150</v>
      </c>
      <c r="F99">
        <v>88682423</v>
      </c>
      <c r="G99">
        <v>21</v>
      </c>
      <c r="H99">
        <f t="shared" si="2"/>
        <v>31.111111111111111</v>
      </c>
      <c r="I99" t="str">
        <f t="shared" si="3"/>
        <v>Obesity I</v>
      </c>
    </row>
    <row r="100" spans="1:9" x14ac:dyDescent="0.2">
      <c r="A100">
        <v>30</v>
      </c>
      <c r="B100" t="s">
        <v>7</v>
      </c>
      <c r="C100" t="s">
        <v>8</v>
      </c>
      <c r="D100">
        <v>67</v>
      </c>
      <c r="E100">
        <v>150</v>
      </c>
      <c r="F100">
        <v>88718217</v>
      </c>
      <c r="G100">
        <v>105</v>
      </c>
      <c r="H100">
        <f t="shared" si="2"/>
        <v>29.777777777777779</v>
      </c>
      <c r="I100" t="str">
        <f t="shared" si="3"/>
        <v>Overweight</v>
      </c>
    </row>
    <row r="101" spans="1:9" x14ac:dyDescent="0.2">
      <c r="A101">
        <v>29</v>
      </c>
      <c r="B101" t="s">
        <v>9</v>
      </c>
      <c r="C101" t="s">
        <v>8</v>
      </c>
      <c r="D101">
        <v>66</v>
      </c>
      <c r="E101">
        <v>150</v>
      </c>
      <c r="F101">
        <v>88674684</v>
      </c>
      <c r="G101">
        <v>81</v>
      </c>
      <c r="H101">
        <f t="shared" si="2"/>
        <v>29.333333333333332</v>
      </c>
      <c r="I101" t="str">
        <f t="shared" si="3"/>
        <v>Overweight</v>
      </c>
    </row>
    <row r="102" spans="1:9" x14ac:dyDescent="0.2">
      <c r="A102">
        <v>35</v>
      </c>
      <c r="B102" t="s">
        <v>12</v>
      </c>
      <c r="C102" t="s">
        <v>11</v>
      </c>
      <c r="D102">
        <v>64</v>
      </c>
      <c r="E102">
        <v>150</v>
      </c>
      <c r="F102">
        <v>88713417</v>
      </c>
      <c r="G102">
        <v>102</v>
      </c>
      <c r="H102">
        <f t="shared" si="2"/>
        <v>28.444444444444443</v>
      </c>
      <c r="I102" t="str">
        <f t="shared" si="3"/>
        <v>Overweight</v>
      </c>
    </row>
    <row r="103" spans="1:9" x14ac:dyDescent="0.2">
      <c r="A103">
        <v>20</v>
      </c>
      <c r="B103" t="s">
        <v>12</v>
      </c>
      <c r="C103" t="s">
        <v>8</v>
      </c>
      <c r="D103">
        <v>63</v>
      </c>
      <c r="E103">
        <v>150</v>
      </c>
      <c r="F103">
        <v>88689761</v>
      </c>
      <c r="G103">
        <v>37</v>
      </c>
      <c r="H103">
        <f t="shared" si="2"/>
        <v>28</v>
      </c>
      <c r="I103" t="str">
        <f t="shared" si="3"/>
        <v>Overweight</v>
      </c>
    </row>
    <row r="104" spans="1:9" x14ac:dyDescent="0.2">
      <c r="A104">
        <v>27</v>
      </c>
      <c r="B104" t="s">
        <v>10</v>
      </c>
      <c r="C104" t="s">
        <v>11</v>
      </c>
      <c r="D104">
        <v>60</v>
      </c>
      <c r="E104">
        <v>150</v>
      </c>
      <c r="F104">
        <v>88755486</v>
      </c>
      <c r="G104">
        <v>121</v>
      </c>
      <c r="H104">
        <f t="shared" si="2"/>
        <v>26.666666666666668</v>
      </c>
      <c r="I104" t="str">
        <f t="shared" si="3"/>
        <v>Overweight</v>
      </c>
    </row>
    <row r="105" spans="1:9" x14ac:dyDescent="0.2">
      <c r="A105">
        <v>32</v>
      </c>
      <c r="B105" t="s">
        <v>12</v>
      </c>
      <c r="C105" t="s">
        <v>11</v>
      </c>
      <c r="D105">
        <v>58</v>
      </c>
      <c r="E105">
        <v>150</v>
      </c>
      <c r="F105">
        <v>88674300</v>
      </c>
      <c r="G105">
        <v>72</v>
      </c>
      <c r="H105">
        <f t="shared" si="2"/>
        <v>25.777777777777779</v>
      </c>
      <c r="I105" t="str">
        <f t="shared" si="3"/>
        <v>Overweight</v>
      </c>
    </row>
    <row r="106" spans="1:9" x14ac:dyDescent="0.2">
      <c r="A106">
        <v>22</v>
      </c>
      <c r="B106" t="s">
        <v>10</v>
      </c>
      <c r="C106" t="s">
        <v>11</v>
      </c>
      <c r="D106">
        <v>52</v>
      </c>
      <c r="E106">
        <v>150</v>
      </c>
      <c r="F106">
        <v>88691660</v>
      </c>
      <c r="G106">
        <v>40</v>
      </c>
      <c r="H106">
        <f t="shared" si="2"/>
        <v>23.111111111111111</v>
      </c>
      <c r="I106" t="str">
        <f t="shared" si="3"/>
        <v>Normal weight</v>
      </c>
    </row>
    <row r="107" spans="1:9" x14ac:dyDescent="0.2">
      <c r="A107">
        <v>26</v>
      </c>
      <c r="B107" t="s">
        <v>7</v>
      </c>
      <c r="C107" t="s">
        <v>8</v>
      </c>
      <c r="D107">
        <v>62</v>
      </c>
      <c r="E107">
        <v>144</v>
      </c>
      <c r="F107">
        <v>88684661</v>
      </c>
      <c r="G107">
        <v>28</v>
      </c>
      <c r="H107">
        <f t="shared" si="2"/>
        <v>29.899691358024693</v>
      </c>
      <c r="I107" t="str">
        <f t="shared" si="3"/>
        <v>Overweight</v>
      </c>
    </row>
    <row r="108" spans="1:9" x14ac:dyDescent="0.2">
      <c r="A108">
        <v>24</v>
      </c>
      <c r="B108" t="s">
        <v>12</v>
      </c>
      <c r="C108" t="s">
        <v>11</v>
      </c>
      <c r="D108">
        <v>61</v>
      </c>
      <c r="E108">
        <v>143</v>
      </c>
      <c r="F108">
        <v>88674665</v>
      </c>
      <c r="G108">
        <v>80</v>
      </c>
      <c r="H108">
        <f t="shared" si="2"/>
        <v>29.830309550589273</v>
      </c>
      <c r="I108" t="str">
        <f t="shared" si="3"/>
        <v>Overweight</v>
      </c>
    </row>
    <row r="109" spans="1:9" x14ac:dyDescent="0.2">
      <c r="A109">
        <v>31</v>
      </c>
      <c r="B109" t="s">
        <v>12</v>
      </c>
      <c r="C109" t="s">
        <v>8</v>
      </c>
      <c r="D109">
        <v>78</v>
      </c>
      <c r="E109">
        <v>140</v>
      </c>
      <c r="F109">
        <v>88675436</v>
      </c>
      <c r="G109">
        <v>32</v>
      </c>
      <c r="H109">
        <f t="shared" si="2"/>
        <v>39.795918367346943</v>
      </c>
      <c r="I109" t="str">
        <f t="shared" si="3"/>
        <v>Obesity II</v>
      </c>
    </row>
    <row r="110" spans="1:9" x14ac:dyDescent="0.2">
      <c r="A110">
        <v>33</v>
      </c>
      <c r="B110" t="s">
        <v>10</v>
      </c>
      <c r="C110" t="s">
        <v>8</v>
      </c>
      <c r="D110">
        <v>67</v>
      </c>
      <c r="E110">
        <v>140</v>
      </c>
      <c r="F110">
        <v>88674321</v>
      </c>
      <c r="G110">
        <v>73</v>
      </c>
      <c r="H110">
        <f t="shared" si="2"/>
        <v>34.183673469387763</v>
      </c>
      <c r="I110" t="str">
        <f t="shared" si="3"/>
        <v>Obesity I</v>
      </c>
    </row>
    <row r="111" spans="1:9" x14ac:dyDescent="0.2">
      <c r="A111">
        <v>23</v>
      </c>
      <c r="B111" t="s">
        <v>12</v>
      </c>
      <c r="C111" t="s">
        <v>8</v>
      </c>
      <c r="D111">
        <v>63</v>
      </c>
      <c r="E111">
        <v>140</v>
      </c>
      <c r="F111">
        <v>88682863</v>
      </c>
      <c r="G111">
        <v>19</v>
      </c>
      <c r="H111">
        <f t="shared" si="2"/>
        <v>32.142857142857146</v>
      </c>
      <c r="I111" t="str">
        <f t="shared" si="3"/>
        <v>Obesity I</v>
      </c>
    </row>
    <row r="112" spans="1:9" x14ac:dyDescent="0.2">
      <c r="A112">
        <v>32</v>
      </c>
      <c r="B112" t="s">
        <v>12</v>
      </c>
      <c r="C112" t="s">
        <v>8</v>
      </c>
      <c r="D112">
        <v>86</v>
      </c>
      <c r="E112">
        <v>134</v>
      </c>
      <c r="F112">
        <v>88674733</v>
      </c>
      <c r="G112">
        <v>83</v>
      </c>
      <c r="H112">
        <f t="shared" si="2"/>
        <v>47.894854087770099</v>
      </c>
      <c r="I112" t="str">
        <f t="shared" si="3"/>
        <v>Obesity III</v>
      </c>
    </row>
    <row r="113" spans="1:9" x14ac:dyDescent="0.2">
      <c r="A113">
        <v>27</v>
      </c>
      <c r="B113" t="s">
        <v>10</v>
      </c>
      <c r="C113" t="s">
        <v>8</v>
      </c>
      <c r="D113">
        <v>51</v>
      </c>
      <c r="E113">
        <v>130</v>
      </c>
      <c r="F113">
        <v>88728398</v>
      </c>
      <c r="G113">
        <v>108</v>
      </c>
      <c r="H113">
        <f t="shared" si="2"/>
        <v>30.177514792899405</v>
      </c>
      <c r="I113" t="str">
        <f t="shared" si="3"/>
        <v>Obesity I</v>
      </c>
    </row>
    <row r="114" spans="1:9" x14ac:dyDescent="0.2">
      <c r="A114">
        <v>30</v>
      </c>
      <c r="B114" t="s">
        <v>12</v>
      </c>
      <c r="C114" t="s">
        <v>8</v>
      </c>
      <c r="D114">
        <v>67</v>
      </c>
      <c r="E114">
        <v>120</v>
      </c>
      <c r="F114">
        <v>88677812</v>
      </c>
      <c r="G114">
        <v>39</v>
      </c>
      <c r="H114">
        <f t="shared" si="2"/>
        <v>46.527777777777779</v>
      </c>
      <c r="I114" t="str">
        <f t="shared" si="3"/>
        <v>Obesity III</v>
      </c>
    </row>
    <row r="115" spans="1:9" x14ac:dyDescent="0.2">
      <c r="A115">
        <v>30</v>
      </c>
      <c r="B115" t="s">
        <v>7</v>
      </c>
      <c r="C115" t="s">
        <v>8</v>
      </c>
      <c r="D115">
        <v>67</v>
      </c>
      <c r="E115">
        <v>120</v>
      </c>
      <c r="F115">
        <v>88677812</v>
      </c>
      <c r="G115">
        <v>39</v>
      </c>
      <c r="H115">
        <f t="shared" si="2"/>
        <v>46.527777777777779</v>
      </c>
      <c r="I115" t="str">
        <f t="shared" si="3"/>
        <v>Obesity III</v>
      </c>
    </row>
    <row r="116" spans="1:9" x14ac:dyDescent="0.2">
      <c r="A116">
        <v>30</v>
      </c>
      <c r="B116" t="s">
        <v>10</v>
      </c>
      <c r="C116" t="s">
        <v>11</v>
      </c>
      <c r="D116">
        <v>49</v>
      </c>
      <c r="E116">
        <v>120</v>
      </c>
      <c r="F116">
        <v>88717952</v>
      </c>
      <c r="G116">
        <v>104</v>
      </c>
      <c r="H116">
        <f t="shared" si="2"/>
        <v>34.027777777777779</v>
      </c>
      <c r="I116" t="str">
        <f t="shared" si="3"/>
        <v>Obesity I</v>
      </c>
    </row>
    <row r="117" spans="1:9" x14ac:dyDescent="0.2">
      <c r="A117">
        <v>28</v>
      </c>
      <c r="B117" t="s">
        <v>12</v>
      </c>
      <c r="C117" t="s">
        <v>8</v>
      </c>
      <c r="D117">
        <v>73</v>
      </c>
      <c r="E117">
        <v>66</v>
      </c>
      <c r="F117">
        <v>88679283</v>
      </c>
      <c r="G117">
        <v>8</v>
      </c>
      <c r="H117">
        <f t="shared" si="2"/>
        <v>167.58494031221304</v>
      </c>
      <c r="I117" t="str">
        <f t="shared" si="3"/>
        <v>Obesity III</v>
      </c>
    </row>
    <row r="118" spans="1:9" x14ac:dyDescent="0.2">
      <c r="A118">
        <v>35</v>
      </c>
      <c r="B118" t="s">
        <v>7</v>
      </c>
      <c r="C118" t="s">
        <v>8</v>
      </c>
      <c r="D118">
        <v>65</v>
      </c>
      <c r="E118">
        <v>66</v>
      </c>
      <c r="F118">
        <v>88693469</v>
      </c>
      <c r="G118">
        <v>5</v>
      </c>
      <c r="H118">
        <f t="shared" si="2"/>
        <v>149.21946740128556</v>
      </c>
      <c r="I118" t="str">
        <f t="shared" si="3"/>
        <v>Obesity III</v>
      </c>
    </row>
  </sheetData>
  <autoFilter ref="A1:M118" xr:uid="{C6758E63-D4E1-7241-8088-D6FD05A7630A}">
    <sortState xmlns:xlrd2="http://schemas.microsoft.com/office/spreadsheetml/2017/richdata2" ref="A2:M118">
      <sortCondition descending="1" ref="E1:E11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Arriazu Garcia, Inigo</cp:lastModifiedBy>
  <dcterms:created xsi:type="dcterms:W3CDTF">2026-01-28T22:49:31Z</dcterms:created>
  <dcterms:modified xsi:type="dcterms:W3CDTF">2026-01-28T22:58:54Z</dcterms:modified>
</cp:coreProperties>
</file>